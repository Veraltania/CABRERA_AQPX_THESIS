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qpx\Cabrera_Thesis_AQPX\Battery_Sizing\"/>
    </mc:Choice>
  </mc:AlternateContent>
  <xr:revisionPtr revIDLastSave="0" documentId="13_ncr:1_{B7F04895-A13E-4BCD-9156-DD5CFB57F712}" xr6:coauthVersionLast="47" xr6:coauthVersionMax="47" xr10:uidLastSave="{00000000-0000-0000-0000-000000000000}"/>
  <bookViews>
    <workbookView xWindow="-110" yWindow="-110" windowWidth="19420" windowHeight="10420" xr2:uid="{DF74305E-9225-46A8-8CDB-BF9DE47C2ACB}"/>
  </bookViews>
  <sheets>
    <sheet name="Lead-acid" sheetId="2" r:id="rId1"/>
    <sheet name="LiFePO4" sheetId="3" r:id="rId2"/>
    <sheet name="Inverter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C4" i="2"/>
  <c r="C3" i="2"/>
  <c r="C2" i="2"/>
  <c r="H2" i="4"/>
  <c r="H3" i="4"/>
  <c r="G20" i="3"/>
  <c r="C18" i="3" s="1"/>
  <c r="G15" i="3"/>
  <c r="G14" i="3"/>
  <c r="B5" i="3"/>
  <c r="B7" i="3" s="1"/>
  <c r="B9" i="3" s="1"/>
  <c r="B10" i="3" s="1"/>
  <c r="G14" i="2"/>
  <c r="C12" i="2" s="1"/>
  <c r="B5" i="2"/>
  <c r="B9" i="2" l="1"/>
  <c r="B10" i="2" s="1"/>
  <c r="C12" i="3"/>
</calcChain>
</file>

<file path=xl/sharedStrings.xml><?xml version="1.0" encoding="utf-8"?>
<sst xmlns="http://schemas.openxmlformats.org/spreadsheetml/2006/main" count="85" uniqueCount="45">
  <si>
    <t>Equipment</t>
  </si>
  <si>
    <t>Wattage (W)</t>
  </si>
  <si>
    <t>Aerator</t>
  </si>
  <si>
    <t>Pump</t>
  </si>
  <si>
    <t>Electronics</t>
  </si>
  <si>
    <t>Total</t>
  </si>
  <si>
    <t>Wattage</t>
  </si>
  <si>
    <t>Battery Voltage (V)</t>
  </si>
  <si>
    <t>Safe Depth of Discharge</t>
  </si>
  <si>
    <t>Battery Sizing (Ah)</t>
  </si>
  <si>
    <t>Energy Consumption (Wh)</t>
  </si>
  <si>
    <t>Inefficiency factor</t>
  </si>
  <si>
    <t>Battery Sizing (Wh)</t>
  </si>
  <si>
    <t xml:space="preserve">Days of Autonomy </t>
  </si>
  <si>
    <t>Motolite Solar Master</t>
  </si>
  <si>
    <t>Ah</t>
  </si>
  <si>
    <t>Quantity Needed</t>
  </si>
  <si>
    <t>Battery</t>
  </si>
  <si>
    <t>Voltage</t>
  </si>
  <si>
    <t>Candidate Solution #1</t>
  </si>
  <si>
    <t>Total Cost:</t>
  </si>
  <si>
    <t>Battery Type</t>
  </si>
  <si>
    <t>Lead-acid</t>
  </si>
  <si>
    <t>Candidate Solution #2</t>
  </si>
  <si>
    <t>LiFePO4</t>
  </si>
  <si>
    <t>WattCycle 12V 100Ah LiFePO4 Deep Cycle Battery</t>
  </si>
  <si>
    <t>Cost Per Unit</t>
  </si>
  <si>
    <t>Where to Buy</t>
  </si>
  <si>
    <t>GREEN ENERGY Battery</t>
  </si>
  <si>
    <t>Inverter</t>
  </si>
  <si>
    <t>Type</t>
  </si>
  <si>
    <t>Conversion</t>
  </si>
  <si>
    <t>12V DC-220VAC</t>
  </si>
  <si>
    <t>Baseus</t>
  </si>
  <si>
    <t>Pure sine wave</t>
  </si>
  <si>
    <t>https://www.lazada.com.ph/products/baseus-500w300w-car-power-inverter-pure-sine-wave-inverter-12v-to-220v-110v-current-converter-europe-camper-eu-us-300w-auto-power-socket-car-inverters-i3145201976-s15616469038.html?from_gmc=1&amp;fl_tag=1&amp;utm_source=chatgpt.com</t>
  </si>
  <si>
    <t>Rated Current (A)</t>
  </si>
  <si>
    <t>N/A (Built for cars)</t>
  </si>
  <si>
    <t>Bosca</t>
  </si>
  <si>
    <t>https://www.lazada.com.ph/products/bosca-pure-sine-wave-inverter-300w500w-power-inverter-dc12v-to-ac220v-wusb-5v2a-bps-300bps-500-i3640026236-s18996033843.html?from_gmc=1&amp;fl_tag=1&amp;utm_source=chatgpt.com</t>
  </si>
  <si>
    <t>WattCycle 12V 50Ah LiFePO4 Deep Cycle Battery</t>
  </si>
  <si>
    <t>https://www.lazada.com.ph/products/wattcycle-bluetooth-lifepo4-lithium-battery-12v-50ah100ah314ah-bms-15000-cycles-rechargeable-solar-battery-for-home-power-outage-i5361754190-s32214001679.html?from_gmc=1&amp;fl_tag=1</t>
  </si>
  <si>
    <t>https://www.lazada.com.ph/products/wattcycle-bluetooth-lifepo4-lithium-battery-12v-50ah100ah314ah-bms-15000-cycles-rechargeable-solar-battery-for-home-power-outage-i5361754190-s32146282507.html?</t>
  </si>
  <si>
    <t>https://shopee.ph/product/578154129/29921003590?gads_t_sig=VTJGc2RHVmtYMTlxTFVSVVRrdENkZUxlMGtIQkg0REF1dmhYUEdjQkRVeTZRSHJlK0Z4SzViRmlpa041NytUM2hBck5rTkhCR3hFTzE2RGdOYW1LQ3pHNjUrenhaRyt4dEVqd2RXSHRnNVFsOGR1TklFVlVwUGRqcDVTMGJOeWc</t>
  </si>
  <si>
    <t>https://www.motolite.com/products/motolite-solar-master?variant=42998665412856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</si>
</sst>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2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azada.com.ph/products/baseus-500w300w-car-power-inverter-pure-sine-wave-inverter-12v-to-220v-110v-current-converter-europe-camper-eu-us-300w-auto-power-socket-car-inverters-i3145201976-s15616469038.html?from_gmc=1&amp;fl_tag=1&amp;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38DCC-2C59-44FD-AD65-E42FE76B3254}">
  <dimension ref="A1:H16"/>
  <sheetViews>
    <sheetView tabSelected="1" workbookViewId="0">
      <selection activeCell="E9" sqref="E9"/>
    </sheetView>
  </sheetViews>
  <sheetFormatPr defaultRowHeight="14.5" x14ac:dyDescent="0.35"/>
  <cols>
    <col min="1" max="1" width="21.90625" bestFit="1" customWidth="1"/>
    <col min="2" max="2" width="10.7265625" bestFit="1" customWidth="1"/>
    <col min="3" max="3" width="21.90625" bestFit="1" customWidth="1"/>
    <col min="4" max="4" width="20.26953125" bestFit="1" customWidth="1"/>
    <col min="5" max="6" width="14.453125" bestFit="1" customWidth="1"/>
    <col min="8" max="8" width="71" bestFit="1" customWidth="1"/>
  </cols>
  <sheetData>
    <row r="1" spans="1:8" x14ac:dyDescent="0.35">
      <c r="A1" t="s">
        <v>0</v>
      </c>
      <c r="B1" t="s">
        <v>6</v>
      </c>
      <c r="C1" t="s">
        <v>10</v>
      </c>
    </row>
    <row r="2" spans="1:8" x14ac:dyDescent="0.35">
      <c r="A2" t="s">
        <v>2</v>
      </c>
      <c r="B2">
        <v>18</v>
      </c>
      <c r="C2">
        <f>B2*24</f>
        <v>432</v>
      </c>
    </row>
    <row r="3" spans="1:8" x14ac:dyDescent="0.35">
      <c r="A3" t="s">
        <v>3</v>
      </c>
      <c r="B3">
        <v>50</v>
      </c>
      <c r="C3">
        <f>B3*12</f>
        <v>600</v>
      </c>
    </row>
    <row r="4" spans="1:8" x14ac:dyDescent="0.35">
      <c r="A4" t="s">
        <v>4</v>
      </c>
      <c r="B4">
        <v>10</v>
      </c>
      <c r="C4">
        <f>B4*24</f>
        <v>240</v>
      </c>
    </row>
    <row r="5" spans="1:8" x14ac:dyDescent="0.35">
      <c r="B5">
        <f>SUM(B2:B4)</f>
        <v>78</v>
      </c>
    </row>
    <row r="7" spans="1:8" x14ac:dyDescent="0.35">
      <c r="A7" t="s">
        <v>10</v>
      </c>
      <c r="B7">
        <f>SUM(C2:C4)</f>
        <v>1272</v>
      </c>
      <c r="D7" t="s">
        <v>7</v>
      </c>
      <c r="E7">
        <v>12</v>
      </c>
    </row>
    <row r="8" spans="1:8" x14ac:dyDescent="0.35">
      <c r="D8" t="s">
        <v>8</v>
      </c>
      <c r="E8">
        <v>0.5</v>
      </c>
    </row>
    <row r="9" spans="1:8" x14ac:dyDescent="0.35">
      <c r="A9" t="s">
        <v>12</v>
      </c>
      <c r="B9">
        <f>(B7/E8)*E9*E10</f>
        <v>2194.1999999999998</v>
      </c>
      <c r="D9" t="s">
        <v>11</v>
      </c>
      <c r="E9">
        <v>1.1499999999999999</v>
      </c>
    </row>
    <row r="10" spans="1:8" x14ac:dyDescent="0.35">
      <c r="A10" t="s">
        <v>9</v>
      </c>
      <c r="B10">
        <f>(B9/E7)</f>
        <v>182.85</v>
      </c>
      <c r="D10" t="s">
        <v>13</v>
      </c>
      <c r="E10">
        <v>0.75</v>
      </c>
    </row>
    <row r="12" spans="1:8" x14ac:dyDescent="0.35">
      <c r="A12" s="1" t="s">
        <v>19</v>
      </c>
      <c r="B12" s="1" t="s">
        <v>20</v>
      </c>
      <c r="C12" s="1">
        <f>SUM(G14)</f>
        <v>30210</v>
      </c>
    </row>
    <row r="13" spans="1:8" x14ac:dyDescent="0.35">
      <c r="A13" s="1" t="s">
        <v>17</v>
      </c>
      <c r="B13" t="s">
        <v>21</v>
      </c>
      <c r="C13" s="1" t="s">
        <v>18</v>
      </c>
      <c r="D13" s="1" t="s">
        <v>15</v>
      </c>
      <c r="E13" s="1" t="s">
        <v>26</v>
      </c>
      <c r="F13" s="1" t="s">
        <v>16</v>
      </c>
      <c r="G13" s="1" t="s">
        <v>5</v>
      </c>
      <c r="H13" s="1" t="s">
        <v>27</v>
      </c>
    </row>
    <row r="14" spans="1:8" x14ac:dyDescent="0.35">
      <c r="A14" s="1" t="s">
        <v>14</v>
      </c>
      <c r="B14" s="1" t="s">
        <v>22</v>
      </c>
      <c r="C14" s="1">
        <v>12</v>
      </c>
      <c r="D14" s="1">
        <v>200</v>
      </c>
      <c r="E14" s="1">
        <v>15105</v>
      </c>
      <c r="F14" s="1">
        <v>2</v>
      </c>
      <c r="G14" s="1">
        <f>E14*F14</f>
        <v>30210</v>
      </c>
      <c r="H14" s="1" t="s">
        <v>44</v>
      </c>
    </row>
    <row r="15" spans="1:8" x14ac:dyDescent="0.35">
      <c r="A15" s="1"/>
      <c r="B15" s="1"/>
      <c r="C15" s="1"/>
      <c r="D15" s="1"/>
      <c r="E15" s="1"/>
    </row>
    <row r="16" spans="1:8" x14ac:dyDescent="0.35">
      <c r="A16" s="1"/>
      <c r="B16" s="1"/>
      <c r="C16" s="1"/>
      <c r="D16" s="1"/>
      <c r="E16" s="1"/>
      <c r="F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8F8F6-A99F-458B-BC34-315387F5D010}">
  <dimension ref="A1:H21"/>
  <sheetViews>
    <sheetView topLeftCell="A2" workbookViewId="0">
      <selection activeCell="C17" sqref="C17"/>
    </sheetView>
  </sheetViews>
  <sheetFormatPr defaultRowHeight="14.5" x14ac:dyDescent="0.35"/>
  <cols>
    <col min="1" max="1" width="41.81640625" bestFit="1" customWidth="1"/>
    <col min="2" max="2" width="10.7265625" bestFit="1" customWidth="1"/>
    <col min="4" max="4" width="20.26953125" bestFit="1" customWidth="1"/>
    <col min="5" max="6" width="14.453125" bestFit="1" customWidth="1"/>
    <col min="8" max="8" width="232.90625" bestFit="1" customWidth="1"/>
  </cols>
  <sheetData>
    <row r="1" spans="1:8" x14ac:dyDescent="0.35">
      <c r="A1" t="s">
        <v>0</v>
      </c>
      <c r="B1" t="s">
        <v>6</v>
      </c>
    </row>
    <row r="2" spans="1:8" x14ac:dyDescent="0.35">
      <c r="A2" t="s">
        <v>2</v>
      </c>
      <c r="B2">
        <v>18</v>
      </c>
    </row>
    <row r="3" spans="1:8" x14ac:dyDescent="0.35">
      <c r="A3" t="s">
        <v>3</v>
      </c>
      <c r="B3">
        <v>50</v>
      </c>
    </row>
    <row r="4" spans="1:8" x14ac:dyDescent="0.35">
      <c r="A4" t="s">
        <v>4</v>
      </c>
      <c r="B4">
        <v>10</v>
      </c>
    </row>
    <row r="5" spans="1:8" x14ac:dyDescent="0.35">
      <c r="B5">
        <f>SUM(B2:B4)</f>
        <v>78</v>
      </c>
    </row>
    <row r="7" spans="1:8" x14ac:dyDescent="0.35">
      <c r="A7" t="s">
        <v>10</v>
      </c>
      <c r="B7">
        <f>B5*24</f>
        <v>1872</v>
      </c>
      <c r="D7" t="s">
        <v>7</v>
      </c>
      <c r="E7">
        <v>12</v>
      </c>
    </row>
    <row r="8" spans="1:8" x14ac:dyDescent="0.35">
      <c r="D8" t="s">
        <v>8</v>
      </c>
      <c r="E8">
        <v>0.8</v>
      </c>
    </row>
    <row r="9" spans="1:8" x14ac:dyDescent="0.35">
      <c r="A9" t="s">
        <v>12</v>
      </c>
      <c r="B9">
        <f>(B7/E8)*E9*E10</f>
        <v>2691</v>
      </c>
      <c r="D9" t="s">
        <v>11</v>
      </c>
      <c r="E9">
        <v>1.1499999999999999</v>
      </c>
    </row>
    <row r="10" spans="1:8" x14ac:dyDescent="0.35">
      <c r="A10" t="s">
        <v>9</v>
      </c>
      <c r="B10">
        <f>(B9/E7)</f>
        <v>224.25</v>
      </c>
      <c r="D10" t="s">
        <v>13</v>
      </c>
      <c r="E10">
        <v>1</v>
      </c>
    </row>
    <row r="12" spans="1:8" x14ac:dyDescent="0.35">
      <c r="A12" s="1" t="s">
        <v>19</v>
      </c>
      <c r="B12" s="1" t="s">
        <v>20</v>
      </c>
      <c r="C12" s="1">
        <f>SUM(G14:G15)</f>
        <v>32839</v>
      </c>
    </row>
    <row r="13" spans="1:8" x14ac:dyDescent="0.35">
      <c r="A13" s="1" t="s">
        <v>17</v>
      </c>
      <c r="B13" t="s">
        <v>21</v>
      </c>
      <c r="C13" s="1" t="s">
        <v>18</v>
      </c>
      <c r="D13" s="1" t="s">
        <v>15</v>
      </c>
      <c r="E13" s="1" t="s">
        <v>26</v>
      </c>
      <c r="F13" s="1" t="s">
        <v>16</v>
      </c>
      <c r="G13" s="1" t="s">
        <v>5</v>
      </c>
      <c r="H13" s="1" t="s">
        <v>27</v>
      </c>
    </row>
    <row r="14" spans="1:8" x14ac:dyDescent="0.35">
      <c r="A14" s="1" t="s">
        <v>25</v>
      </c>
      <c r="B14" s="1" t="s">
        <v>24</v>
      </c>
      <c r="C14" s="1">
        <v>12</v>
      </c>
      <c r="D14" s="1">
        <v>100</v>
      </c>
      <c r="E14" s="1">
        <v>12990</v>
      </c>
      <c r="F14" s="1">
        <v>2</v>
      </c>
      <c r="G14" s="1">
        <f>E14*F14</f>
        <v>25980</v>
      </c>
      <c r="H14" s="1" t="s">
        <v>42</v>
      </c>
    </row>
    <row r="15" spans="1:8" x14ac:dyDescent="0.35">
      <c r="A15" s="1" t="s">
        <v>40</v>
      </c>
      <c r="B15" s="1" t="s">
        <v>24</v>
      </c>
      <c r="C15" s="1">
        <v>12</v>
      </c>
      <c r="D15" s="1">
        <v>50</v>
      </c>
      <c r="E15" s="1">
        <v>6859</v>
      </c>
      <c r="F15" s="1">
        <v>1</v>
      </c>
      <c r="G15" s="1">
        <f>E15*F15</f>
        <v>6859</v>
      </c>
      <c r="H15" s="1" t="s">
        <v>41</v>
      </c>
    </row>
    <row r="16" spans="1:8" x14ac:dyDescent="0.35">
      <c r="A16" s="1"/>
      <c r="B16" s="1"/>
      <c r="C16" s="1"/>
      <c r="D16" s="1"/>
      <c r="E16" s="1"/>
      <c r="F16" s="1"/>
    </row>
    <row r="18" spans="1:8" x14ac:dyDescent="0.35">
      <c r="A18" s="1" t="s">
        <v>23</v>
      </c>
      <c r="B18" s="1" t="s">
        <v>20</v>
      </c>
      <c r="C18" s="1">
        <f>SUM(G20:G21)</f>
        <v>9600</v>
      </c>
    </row>
    <row r="19" spans="1:8" x14ac:dyDescent="0.35">
      <c r="A19" s="1" t="s">
        <v>17</v>
      </c>
      <c r="B19" t="s">
        <v>21</v>
      </c>
      <c r="C19" s="1" t="s">
        <v>18</v>
      </c>
      <c r="D19" s="1" t="s">
        <v>15</v>
      </c>
      <c r="E19" s="1" t="s">
        <v>26</v>
      </c>
      <c r="F19" s="1" t="s">
        <v>16</v>
      </c>
      <c r="G19" s="1" t="s">
        <v>5</v>
      </c>
      <c r="H19" s="1" t="s">
        <v>27</v>
      </c>
    </row>
    <row r="20" spans="1:8" x14ac:dyDescent="0.35">
      <c r="A20" s="1" t="s">
        <v>28</v>
      </c>
      <c r="B20" s="1" t="s">
        <v>24</v>
      </c>
      <c r="C20" s="1">
        <v>12</v>
      </c>
      <c r="D20" s="1">
        <v>100</v>
      </c>
      <c r="E20" s="1">
        <v>3200</v>
      </c>
      <c r="F20" s="1">
        <v>3</v>
      </c>
      <c r="G20" s="1">
        <f>E20*F20</f>
        <v>9600</v>
      </c>
      <c r="H20" s="1" t="s">
        <v>43</v>
      </c>
    </row>
    <row r="21" spans="1:8" x14ac:dyDescent="0.35">
      <c r="A21" s="1"/>
      <c r="B21" s="1"/>
      <c r="C21" s="1"/>
      <c r="D21" s="1"/>
      <c r="E21" s="1"/>
      <c r="F21" s="1"/>
      <c r="G21" s="1"/>
      <c r="H21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93007-5E73-49DC-9655-F620F45AE27A}">
  <dimension ref="A1:I4"/>
  <sheetViews>
    <sheetView workbookViewId="0">
      <selection activeCell="I2" sqref="I2"/>
    </sheetView>
  </sheetViews>
  <sheetFormatPr defaultRowHeight="14.5" x14ac:dyDescent="0.35"/>
  <cols>
    <col min="1" max="1" width="8.453125" bestFit="1" customWidth="1"/>
    <col min="2" max="2" width="16" bestFit="1" customWidth="1"/>
    <col min="3" max="3" width="15.6328125" bestFit="1" customWidth="1"/>
    <col min="4" max="4" width="14" bestFit="1" customWidth="1"/>
    <col min="5" max="7" width="14.453125" bestFit="1" customWidth="1"/>
    <col min="8" max="8" width="24.54296875" bestFit="1" customWidth="1"/>
  </cols>
  <sheetData>
    <row r="1" spans="1:9" x14ac:dyDescent="0.35">
      <c r="A1" s="1" t="s">
        <v>29</v>
      </c>
      <c r="B1" s="1" t="s">
        <v>30</v>
      </c>
      <c r="C1" t="s">
        <v>36</v>
      </c>
      <c r="D1" s="1" t="s">
        <v>1</v>
      </c>
      <c r="E1" s="1" t="s">
        <v>31</v>
      </c>
      <c r="F1" s="1" t="s">
        <v>26</v>
      </c>
      <c r="G1" s="1" t="s">
        <v>16</v>
      </c>
      <c r="H1" s="1" t="s">
        <v>5</v>
      </c>
      <c r="I1" s="1" t="s">
        <v>27</v>
      </c>
    </row>
    <row r="2" spans="1:9" x14ac:dyDescent="0.35">
      <c r="A2" s="1" t="s">
        <v>33</v>
      </c>
      <c r="B2" s="1" t="s">
        <v>34</v>
      </c>
      <c r="C2" s="1" t="s">
        <v>37</v>
      </c>
      <c r="D2" s="1">
        <v>500</v>
      </c>
      <c r="E2" s="1" t="s">
        <v>32</v>
      </c>
      <c r="F2" s="2">
        <v>5999</v>
      </c>
      <c r="G2" s="1">
        <v>1</v>
      </c>
      <c r="H2" s="1">
        <f>F2*G2</f>
        <v>5999</v>
      </c>
      <c r="I2" s="3" t="s">
        <v>35</v>
      </c>
    </row>
    <row r="3" spans="1:9" x14ac:dyDescent="0.35">
      <c r="A3" s="1" t="s">
        <v>38</v>
      </c>
      <c r="B3" s="1" t="s">
        <v>34</v>
      </c>
      <c r="C3" s="1">
        <v>50</v>
      </c>
      <c r="D3" s="1">
        <v>300</v>
      </c>
      <c r="E3" s="1" t="s">
        <v>32</v>
      </c>
      <c r="F3" s="1">
        <v>2699</v>
      </c>
      <c r="G3" s="1">
        <v>1</v>
      </c>
      <c r="H3" s="1">
        <f>F3*G3</f>
        <v>2699</v>
      </c>
      <c r="I3" t="s">
        <v>39</v>
      </c>
    </row>
    <row r="4" spans="1:9" x14ac:dyDescent="0.35">
      <c r="A4" s="1"/>
      <c r="B4" s="1"/>
      <c r="C4" s="1"/>
      <c r="D4" s="1"/>
      <c r="E4" s="1"/>
      <c r="F4" s="1"/>
      <c r="G4" s="1"/>
      <c r="H4" s="1"/>
    </row>
  </sheetData>
  <hyperlinks>
    <hyperlink ref="I2" r:id="rId1" display="https://www.lazada.com.ph/products/baseus-500w300w-car-power-inverter-pure-sine-wave-inverter-12v-to-220v-110v-current-converter-europe-camper-eu-us-300w-auto-power-socket-car-inverters-i3145201976-s15616469038.html?from_gmc=1&amp;fl_tag=1&amp;utm_source=chatgpt.com" xr:uid="{12ACAB90-66DC-4DA7-B800-CC7DE5BBA5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Lead-acid</vt:lpstr>
      <vt:lpstr>LiFePO4</vt:lpstr>
      <vt:lpstr>Inverters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Elrond Cabrera</dc:creator>
  <cp:lastModifiedBy>Neo Elrond Cabrera</cp:lastModifiedBy>
  <dcterms:created xsi:type="dcterms:W3CDTF">2026-03-01T18:41:11Z</dcterms:created>
  <dcterms:modified xsi:type="dcterms:W3CDTF">2026-03-02T11:02:01Z</dcterms:modified>
</cp:coreProperties>
</file>